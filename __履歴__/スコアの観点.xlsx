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BizOwn\000_Biw2\51_googleantigravity\007_kaggle_Biohub-Cell_Tracking_During_Development\s3_results_integration_and_submission\__履歴__\"/>
    </mc:Choice>
  </mc:AlternateContent>
  <xr:revisionPtr revIDLastSave="0" documentId="13_ncr:1_{24E880E8-72AF-4229-846D-E9DD9123F5E7}" xr6:coauthVersionLast="47" xr6:coauthVersionMax="47" xr10:uidLastSave="{00000000-0000-0000-0000-000000000000}"/>
  <bookViews>
    <workbookView xWindow="20832" yWindow="4164" windowWidth="21912" windowHeight="1963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7" i="1" l="1"/>
  <c r="F26" i="1"/>
  <c r="H26" i="1" s="1"/>
</calcChain>
</file>

<file path=xl/sharedStrings.xml><?xml version="1.0" encoding="utf-8"?>
<sst xmlns="http://schemas.openxmlformats.org/spreadsheetml/2006/main" count="131" uniqueCount="89">
  <si>
    <t>s3_100_results_integration_and_submission.ipynb</t>
  </si>
  <si>
    <t>データセット:'44b6_0113de3b'</t>
  </si>
  <si>
    <t>GTの見積もり総細胞数</t>
    <phoneticPr fontId="1"/>
  </si>
  <si>
    <t>blogdogの細胞検出数</t>
    <phoneticPr fontId="1"/>
  </si>
  <si>
    <t>3D U-Netの細胞検出数</t>
    <phoneticPr fontId="1"/>
  </si>
  <si>
    <t>2026/9/5時点</t>
    <rPh sb="8" eb="10">
      <t>ジテン</t>
    </rPh>
    <phoneticPr fontId="1"/>
  </si>
  <si>
    <t>dataset</t>
  </si>
  <si>
    <t>44b6_0113de3b</t>
  </si>
  <si>
    <t>44b6_0b24845f</t>
  </si>
  <si>
    <t>44b6_74d0c52e</t>
  </si>
  <si>
    <t>6bba_05b6850b</t>
  </si>
  <si>
    <t>6bba_085bf656</t>
  </si>
  <si>
    <t>estimated_number_of_nodes</t>
  </si>
  <si>
    <t>total_pred_nodes</t>
  </si>
  <si>
    <t>3D U-Net</t>
    <phoneticPr fontId="1"/>
  </si>
  <si>
    <t>tp</t>
  </si>
  <si>
    <t>fp</t>
  </si>
  <si>
    <t>fn</t>
  </si>
  <si>
    <t>precision</t>
  </si>
  <si>
    <t>recall</t>
  </si>
  <si>
    <t>f1_score</t>
  </si>
  <si>
    <t>処理時間</t>
    <rPh sb="0" eb="4">
      <t>ショリジカン</t>
    </rPh>
    <phoneticPr fontId="1"/>
  </si>
  <si>
    <t>秒</t>
    <rPh sb="0" eb="1">
      <t>ビョウ</t>
    </rPh>
    <phoneticPr fontId="1"/>
  </si>
  <si>
    <t>デフォルト</t>
    <phoneticPr fontId="1"/>
  </si>
  <si>
    <t>秒</t>
    <rPh sb="0" eb="1">
      <t>ビョウ</t>
    </rPh>
    <phoneticPr fontId="1"/>
  </si>
  <si>
    <t>実行日</t>
    <rPh sb="0" eb="2">
      <t>ジッコウ</t>
    </rPh>
    <rPh sb="2" eb="3">
      <t>ヒ</t>
    </rPh>
    <phoneticPr fontId="1"/>
  </si>
  <si>
    <t>A: p32x64x64_sig4.0x1.0_lr0.001</t>
    <phoneticPr fontId="1"/>
  </si>
  <si>
    <t>モデル</t>
    <phoneticPr fontId="1"/>
  </si>
  <si>
    <t>初回の暫定モデル</t>
    <rPh sb="0" eb="2">
      <t>ショカイ</t>
    </rPh>
    <rPh sb="3" eb="5">
      <t>ザンテイ</t>
    </rPh>
    <phoneticPr fontId="1"/>
  </si>
  <si>
    <t>初回の暫定モデル</t>
    <phoneticPr fontId="1"/>
  </si>
  <si>
    <t>不明</t>
    <rPh sb="0" eb="2">
      <t>フメイ</t>
    </rPh>
    <phoneticPr fontId="1"/>
  </si>
  <si>
    <t>初回の暫定モデル</t>
    <rPh sb="0" eb="2">
      <t>ショカイ</t>
    </rPh>
    <rPh sb="3" eb="5">
      <t>ザンテイ</t>
    </rPh>
    <phoneticPr fontId="1"/>
  </si>
  <si>
    <t>D: p32x64x64_sig1.5x1.0_lr0.001</t>
    <phoneticPr fontId="1"/>
  </si>
  <si>
    <t>Blob Dog</t>
    <phoneticPr fontId="1"/>
  </si>
  <si>
    <t>データセット</t>
  </si>
  <si>
    <r>
      <t>閾値 (</t>
    </r>
    <r>
      <rPr>
        <sz val="9.9"/>
        <color rgb="FFA31515"/>
        <rFont val="Consolas"/>
        <family val="3"/>
      </rPr>
      <t>th</t>
    </r>
    <r>
      <rPr>
        <sz val="8"/>
        <color rgb="FF101010"/>
        <rFont val="Segoe UI"/>
        <family val="2"/>
      </rPr>
      <t>)</t>
    </r>
  </si>
  <si>
    <r>
      <t>検出数 (</t>
    </r>
    <r>
      <rPr>
        <sz val="9.9"/>
        <color rgb="FFA31515"/>
        <rFont val="Consolas"/>
        <family val="3"/>
      </rPr>
      <t>Pred</t>
    </r>
    <r>
      <rPr>
        <sz val="8"/>
        <color rgb="FF101010"/>
        <rFont val="Segoe UI"/>
        <family val="2"/>
      </rPr>
      <t>)</t>
    </r>
  </si>
  <si>
    <t>GT推定総数</t>
  </si>
  <si>
    <t>推定比</t>
  </si>
  <si>
    <t>Recall（再現率）</t>
  </si>
  <si>
    <t>適合率 (Prec)</t>
  </si>
  <si>
    <t>F1-Score</t>
  </si>
  <si>
    <t>平均誤差距離</t>
  </si>
  <si>
    <t>処理時間</t>
  </si>
  <si>
    <t>(GT検証: 51)</t>
  </si>
  <si>
    <t>0.0000 (0/51)</t>
  </si>
  <si>
    <t>0.2353 (12/51)</t>
  </si>
  <si>
    <t>0.6078 (31/51)</t>
  </si>
  <si>
    <t>0.8039 (41/51)</t>
  </si>
  <si>
    <t>0.8824 (45/51)</t>
  </si>
  <si>
    <t>0.00μm</t>
  </si>
  <si>
    <t>4.83μm</t>
  </si>
  <si>
    <t>3.77μm</t>
  </si>
  <si>
    <t>3.51μm</t>
  </si>
  <si>
    <t>3.62μm</t>
  </si>
  <si>
    <t>53.3s</t>
  </si>
  <si>
    <t>53.7s</t>
  </si>
  <si>
    <t>54.1s</t>
  </si>
  <si>
    <t>53.8s</t>
  </si>
  <si>
    <t>(GT検証: 140)</t>
  </si>
  <si>
    <t>0.1857 (26/140)</t>
  </si>
  <si>
    <t>0.7357 (103/140)</t>
  </si>
  <si>
    <t>0.8786 (123/140)</t>
  </si>
  <si>
    <t>0.8857 (124/140)</t>
  </si>
  <si>
    <t>2.57μm</t>
  </si>
  <si>
    <t>2.28μm</t>
  </si>
  <si>
    <t>2.10μm</t>
  </si>
  <si>
    <t>52.9s</t>
  </si>
  <si>
    <t>53.0s</t>
  </si>
  <si>
    <t>53.1s</t>
  </si>
  <si>
    <t>53.4s</t>
  </si>
  <si>
    <t>(GT検証: 861)</t>
  </si>
  <si>
    <t>0.9222 (794/861)</t>
  </si>
  <si>
    <t>3.55μm</t>
  </si>
  <si>
    <t>55.3s</t>
  </si>
  <si>
    <t>53.9s</t>
  </si>
  <si>
    <t>54.7s</t>
  </si>
  <si>
    <t>(GT検証: 1,198)</t>
  </si>
  <si>
    <t>0.9816 (1,176/1,198)</t>
  </si>
  <si>
    <t>0.9900 (1,186/1,198)</t>
  </si>
  <si>
    <t>0.9908 (1,187/1,198)</t>
  </si>
  <si>
    <t>0.9917 (1,188/1,198)</t>
  </si>
  <si>
    <t>3.33μm</t>
  </si>
  <si>
    <t>3.32μm</t>
  </si>
  <si>
    <t>54.2s</t>
  </si>
  <si>
    <t>55.5s</t>
  </si>
  <si>
    <t>55.4s</t>
  </si>
  <si>
    <t>56.4s</t>
  </si>
  <si>
    <t>44b6_0b24845f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</si>
</sst>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8"/>
      <color rgb="FF101010"/>
      <name val="Segoe UI"/>
      <family val="2"/>
    </font>
    <font>
      <sz val="9.9"/>
      <color rgb="FFA31515"/>
      <name val="Consolas"/>
      <family val="3"/>
    </font>
    <font>
      <b/>
      <sz val="8"/>
      <color rgb="FF101010"/>
      <name val="Segoe UI"/>
      <family val="2"/>
    </font>
    <font>
      <sz val="8"/>
      <color rgb="FF1010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9F9F9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0" borderId="3" xfId="0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0" xfId="0" applyFill="1"/>
    <xf numFmtId="14" fontId="0" fillId="0" borderId="0" xfId="0" applyNumberFormat="1" applyFill="1"/>
    <xf numFmtId="14" fontId="0" fillId="0" borderId="0" xfId="0" applyNumberFormat="1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2" borderId="13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5" fillId="3" borderId="18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10" fontId="5" fillId="3" borderId="0" xfId="0" applyNumberFormat="1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10" fontId="4" fillId="3" borderId="0" xfId="0" applyNumberFormat="1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10" fontId="5" fillId="3" borderId="20" xfId="0" applyNumberFormat="1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left" vertical="center" wrapText="1"/>
    </xf>
    <xf numFmtId="0" fontId="5" fillId="3" borderId="23" xfId="0" applyFont="1" applyFill="1" applyBorder="1" applyAlignment="1">
      <alignment horizontal="center" vertical="center" wrapText="1"/>
    </xf>
    <xf numFmtId="10" fontId="5" fillId="3" borderId="23" xfId="0" applyNumberFormat="1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left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5" fillId="3" borderId="27" xfId="0" applyFont="1" applyFill="1" applyBorder="1" applyAlignment="1">
      <alignment horizontal="left" vertical="center" wrapText="1"/>
    </xf>
    <xf numFmtId="0" fontId="5" fillId="3" borderId="28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10" fontId="4" fillId="3" borderId="23" xfId="0" applyNumberFormat="1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3" fontId="5" fillId="3" borderId="2" xfId="0" applyNumberFormat="1" applyFont="1" applyFill="1" applyBorder="1" applyAlignment="1">
      <alignment horizontal="center" vertical="center" wrapText="1"/>
    </xf>
    <xf numFmtId="3" fontId="5" fillId="3" borderId="29" xfId="0" applyNumberFormat="1" applyFont="1" applyFill="1" applyBorder="1" applyAlignment="1">
      <alignment horizontal="center" vertical="center" wrapText="1"/>
    </xf>
    <xf numFmtId="3" fontId="5" fillId="3" borderId="30" xfId="0" applyNumberFormat="1" applyFont="1" applyFill="1" applyBorder="1" applyAlignment="1">
      <alignment horizontal="center" vertical="center" wrapText="1"/>
    </xf>
    <xf numFmtId="3" fontId="5" fillId="3" borderId="2" xfId="0" applyNumberFormat="1" applyFont="1" applyFill="1" applyBorder="1" applyAlignment="1">
      <alignment horizontal="center" vertical="center" wrapText="1"/>
    </xf>
    <xf numFmtId="3" fontId="5" fillId="3" borderId="29" xfId="0" applyNumberFormat="1" applyFont="1" applyFill="1" applyBorder="1" applyAlignment="1">
      <alignment horizontal="center" vertical="center" wrapText="1"/>
    </xf>
    <xf numFmtId="3" fontId="5" fillId="3" borderId="30" xfId="0" applyNumberFormat="1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left" vertical="center" wrapText="1"/>
    </xf>
    <xf numFmtId="10" fontId="4" fillId="3" borderId="31" xfId="0" applyNumberFormat="1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 wrapText="1"/>
    </xf>
    <xf numFmtId="10" fontId="5" fillId="3" borderId="33" xfId="0" applyNumberFormat="1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 wrapText="1"/>
    </xf>
    <xf numFmtId="10" fontId="5" fillId="3" borderId="34" xfId="0" applyNumberFormat="1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left" vertical="center" wrapText="1"/>
    </xf>
    <xf numFmtId="0" fontId="2" fillId="3" borderId="35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  <xf numFmtId="0" fontId="2" fillId="3" borderId="36" xfId="0" applyFont="1" applyFill="1" applyBorder="1" applyAlignment="1">
      <alignment horizontal="center" vertical="center" wrapText="1"/>
    </xf>
    <xf numFmtId="0" fontId="2" fillId="3" borderId="24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2"/>
  <sheetViews>
    <sheetView tabSelected="1" topLeftCell="A18" workbookViewId="0">
      <selection activeCell="B33" sqref="B33"/>
    </sheetView>
  </sheetViews>
  <sheetFormatPr defaultRowHeight="18"/>
  <cols>
    <col min="2" max="2" width="19.296875" customWidth="1"/>
    <col min="3" max="3" width="29.796875" bestFit="1" customWidth="1"/>
    <col min="4" max="4" width="25.296875" customWidth="1"/>
    <col min="5" max="5" width="23.796875" customWidth="1"/>
    <col min="12" max="12" width="9.19921875" style="18" bestFit="1" customWidth="1"/>
  </cols>
  <sheetData>
    <row r="1" spans="1:13">
      <c r="A1" t="s">
        <v>0</v>
      </c>
    </row>
    <row r="2" spans="1:13">
      <c r="B2" t="s">
        <v>1</v>
      </c>
    </row>
    <row r="3" spans="1:13">
      <c r="B3" s="1" t="s">
        <v>2</v>
      </c>
      <c r="C3" s="1">
        <v>25755</v>
      </c>
    </row>
    <row r="4" spans="1:13">
      <c r="B4" s="1" t="s">
        <v>3</v>
      </c>
      <c r="C4" s="1">
        <v>15622</v>
      </c>
    </row>
    <row r="5" spans="1:13">
      <c r="B5" s="1" t="s">
        <v>4</v>
      </c>
      <c r="C5" s="1">
        <v>4473</v>
      </c>
    </row>
    <row r="6" spans="1:13">
      <c r="C6" t="s">
        <v>5</v>
      </c>
    </row>
    <row r="8" spans="1:13">
      <c r="B8" t="s">
        <v>14</v>
      </c>
    </row>
    <row r="9" spans="1:13">
      <c r="B9" s="2" t="s">
        <v>6</v>
      </c>
      <c r="C9" s="2" t="s">
        <v>27</v>
      </c>
      <c r="D9" s="3" t="s">
        <v>13</v>
      </c>
      <c r="E9" s="3" t="s">
        <v>12</v>
      </c>
      <c r="F9" s="3" t="s">
        <v>15</v>
      </c>
      <c r="G9" s="2" t="s">
        <v>16</v>
      </c>
      <c r="H9" s="3" t="s">
        <v>17</v>
      </c>
      <c r="I9" s="2" t="s">
        <v>18</v>
      </c>
      <c r="J9" s="3" t="s">
        <v>19</v>
      </c>
      <c r="K9" s="2" t="s">
        <v>20</v>
      </c>
      <c r="L9" s="16" t="s">
        <v>25</v>
      </c>
      <c r="M9" s="25"/>
    </row>
    <row r="10" spans="1:13" ht="18.600000000000001" thickBot="1">
      <c r="B10" s="4" t="s">
        <v>7</v>
      </c>
      <c r="C10" s="4" t="s">
        <v>30</v>
      </c>
      <c r="D10" s="5">
        <v>19506</v>
      </c>
      <c r="E10" s="5">
        <v>25755</v>
      </c>
      <c r="F10" s="5">
        <v>49</v>
      </c>
      <c r="G10" s="4">
        <v>19457</v>
      </c>
      <c r="H10" s="5">
        <v>3</v>
      </c>
      <c r="I10" s="4">
        <v>2.5000000000000001E-3</v>
      </c>
      <c r="J10" s="5">
        <v>0.94230000000000003</v>
      </c>
      <c r="K10" s="4">
        <v>5.0000000000000001E-3</v>
      </c>
      <c r="L10" s="19">
        <v>46269</v>
      </c>
    </row>
    <row r="11" spans="1:13">
      <c r="B11" s="6" t="s">
        <v>8</v>
      </c>
      <c r="C11" s="17" t="s">
        <v>28</v>
      </c>
      <c r="D11" s="7">
        <v>2416</v>
      </c>
      <c r="E11" s="7">
        <v>32795</v>
      </c>
      <c r="F11" s="7">
        <v>0</v>
      </c>
      <c r="G11" s="8">
        <v>2416</v>
      </c>
      <c r="H11" s="7">
        <v>51</v>
      </c>
      <c r="I11" s="8">
        <v>0</v>
      </c>
      <c r="J11" s="7">
        <v>0</v>
      </c>
      <c r="K11" s="9">
        <v>0</v>
      </c>
      <c r="L11" s="20">
        <v>46270</v>
      </c>
    </row>
    <row r="12" spans="1:13">
      <c r="B12" s="10" t="s">
        <v>9</v>
      </c>
      <c r="C12" s="2" t="s">
        <v>29</v>
      </c>
      <c r="D12" s="3">
        <v>2065</v>
      </c>
      <c r="E12" s="3">
        <v>15090</v>
      </c>
      <c r="F12" s="3">
        <v>31</v>
      </c>
      <c r="G12" s="2">
        <v>2034</v>
      </c>
      <c r="H12" s="3">
        <v>109</v>
      </c>
      <c r="I12" s="2">
        <v>1.4999999999999999E-2</v>
      </c>
      <c r="J12" s="3">
        <v>0.22140000000000001</v>
      </c>
      <c r="K12" s="11">
        <v>2.81E-2</v>
      </c>
      <c r="L12" s="20">
        <v>46270</v>
      </c>
    </row>
    <row r="13" spans="1:13">
      <c r="B13" s="10" t="s">
        <v>10</v>
      </c>
      <c r="C13" s="2" t="s">
        <v>29</v>
      </c>
      <c r="D13" s="3">
        <v>3903</v>
      </c>
      <c r="E13" s="3">
        <v>6362</v>
      </c>
      <c r="F13" s="3">
        <v>733</v>
      </c>
      <c r="G13" s="2">
        <v>3170</v>
      </c>
      <c r="H13" s="3">
        <v>128</v>
      </c>
      <c r="I13" s="2">
        <v>0.18779999999999999</v>
      </c>
      <c r="J13" s="3">
        <v>0.85129999999999995</v>
      </c>
      <c r="K13" s="11">
        <v>0.30769999999999997</v>
      </c>
      <c r="L13" s="20">
        <v>46270</v>
      </c>
    </row>
    <row r="14" spans="1:13" ht="18.600000000000001" thickBot="1">
      <c r="B14" s="21" t="s">
        <v>11</v>
      </c>
      <c r="C14" s="22" t="s">
        <v>31</v>
      </c>
      <c r="D14" s="23">
        <v>6501</v>
      </c>
      <c r="E14" s="23">
        <v>8463</v>
      </c>
      <c r="F14" s="23">
        <v>1096</v>
      </c>
      <c r="G14" s="22">
        <v>5405</v>
      </c>
      <c r="H14" s="23">
        <v>102</v>
      </c>
      <c r="I14" s="22">
        <v>0.1686</v>
      </c>
      <c r="J14" s="23">
        <v>0.91490000000000005</v>
      </c>
      <c r="K14" s="24">
        <v>0.28470000000000001</v>
      </c>
      <c r="L14" s="20">
        <v>46270</v>
      </c>
    </row>
    <row r="15" spans="1:13">
      <c r="B15" s="6" t="s">
        <v>8</v>
      </c>
      <c r="C15" s="8" t="s">
        <v>26</v>
      </c>
      <c r="D15" s="8">
        <v>3200</v>
      </c>
      <c r="E15" s="8">
        <v>32795</v>
      </c>
      <c r="F15" s="7">
        <v>1</v>
      </c>
      <c r="G15" s="8">
        <v>3199</v>
      </c>
      <c r="H15" s="7">
        <v>50</v>
      </c>
      <c r="I15" s="8">
        <v>2.9999999999999997E-4</v>
      </c>
      <c r="J15" s="7">
        <v>1.9599999999999999E-2</v>
      </c>
      <c r="K15" s="9">
        <v>5.9999999999999995E-4</v>
      </c>
      <c r="L15" s="20">
        <v>46271</v>
      </c>
    </row>
    <row r="16" spans="1:13">
      <c r="B16" s="10" t="s">
        <v>9</v>
      </c>
      <c r="C16" s="2" t="s">
        <v>26</v>
      </c>
      <c r="D16" s="2">
        <v>3331</v>
      </c>
      <c r="E16" s="2">
        <v>15090</v>
      </c>
      <c r="F16" s="3">
        <v>43</v>
      </c>
      <c r="G16" s="2">
        <v>3288</v>
      </c>
      <c r="H16" s="3">
        <v>97</v>
      </c>
      <c r="I16" s="2">
        <v>1.29E-2</v>
      </c>
      <c r="J16" s="3">
        <v>0.30709999999999998</v>
      </c>
      <c r="K16" s="11">
        <v>2.4799999999999999E-2</v>
      </c>
      <c r="L16" s="20">
        <v>46271</v>
      </c>
    </row>
    <row r="17" spans="2:13">
      <c r="B17" s="10" t="s">
        <v>10</v>
      </c>
      <c r="C17" s="2" t="s">
        <v>26</v>
      </c>
      <c r="D17" s="2">
        <v>4445</v>
      </c>
      <c r="E17" s="2">
        <v>6362</v>
      </c>
      <c r="F17" s="3">
        <v>758</v>
      </c>
      <c r="G17" s="2">
        <v>3687</v>
      </c>
      <c r="H17" s="3">
        <v>103</v>
      </c>
      <c r="I17" s="2">
        <v>0.17050000000000001</v>
      </c>
      <c r="J17" s="3">
        <v>0.88039999999999996</v>
      </c>
      <c r="K17" s="11">
        <v>0.28570000000000001</v>
      </c>
      <c r="L17" s="20">
        <v>46271</v>
      </c>
    </row>
    <row r="18" spans="2:13" ht="18.600000000000001" thickBot="1">
      <c r="B18" s="28" t="s">
        <v>11</v>
      </c>
      <c r="C18" s="4" t="s">
        <v>26</v>
      </c>
      <c r="D18" s="4">
        <v>6335</v>
      </c>
      <c r="E18" s="4">
        <v>8463</v>
      </c>
      <c r="F18" s="5">
        <v>1033</v>
      </c>
      <c r="G18" s="4">
        <v>5302</v>
      </c>
      <c r="H18" s="5">
        <v>165</v>
      </c>
      <c r="I18" s="4">
        <v>0.16309999999999999</v>
      </c>
      <c r="J18" s="5">
        <v>0.86229999999999996</v>
      </c>
      <c r="K18" s="29">
        <v>0.27429999999999999</v>
      </c>
      <c r="L18" s="20">
        <v>46271</v>
      </c>
    </row>
    <row r="19" spans="2:13">
      <c r="B19" s="6" t="s">
        <v>7</v>
      </c>
      <c r="C19" s="8" t="s">
        <v>32</v>
      </c>
      <c r="D19" s="8">
        <v>19506</v>
      </c>
      <c r="E19" s="8">
        <v>25755</v>
      </c>
      <c r="F19" s="7">
        <v>49</v>
      </c>
      <c r="G19" s="8">
        <v>19457</v>
      </c>
      <c r="H19" s="7">
        <v>3</v>
      </c>
      <c r="I19" s="8">
        <v>2.5000000000000001E-3</v>
      </c>
      <c r="J19" s="7">
        <v>0.94230000000000003</v>
      </c>
      <c r="K19" s="9">
        <v>5.0000000000000001E-3</v>
      </c>
      <c r="L19" s="20">
        <v>46271</v>
      </c>
      <c r="M19" s="20"/>
    </row>
    <row r="20" spans="2:13">
      <c r="B20" s="10" t="s">
        <v>88</v>
      </c>
      <c r="C20" s="2" t="s">
        <v>32</v>
      </c>
      <c r="D20" s="2">
        <v>3197</v>
      </c>
      <c r="E20" s="2">
        <v>32795</v>
      </c>
      <c r="F20" s="3">
        <v>1</v>
      </c>
      <c r="G20" s="2">
        <v>3196</v>
      </c>
      <c r="H20" s="3">
        <v>50</v>
      </c>
      <c r="I20" s="2">
        <v>2.9999999999999997E-4</v>
      </c>
      <c r="J20" s="3">
        <v>1.9599999999999999E-2</v>
      </c>
      <c r="K20" s="11">
        <v>5.9999999999999995E-4</v>
      </c>
      <c r="L20" s="20">
        <v>46271</v>
      </c>
      <c r="M20" s="20"/>
    </row>
    <row r="21" spans="2:13">
      <c r="B21" s="10" t="s">
        <v>9</v>
      </c>
      <c r="C21" s="2" t="s">
        <v>32</v>
      </c>
      <c r="D21" s="2">
        <v>2684</v>
      </c>
      <c r="E21" s="2">
        <v>15090</v>
      </c>
      <c r="F21" s="3">
        <v>36</v>
      </c>
      <c r="G21" s="2">
        <v>2648</v>
      </c>
      <c r="H21" s="3">
        <v>104</v>
      </c>
      <c r="I21" s="2">
        <v>1.34E-2</v>
      </c>
      <c r="J21" s="3">
        <v>0.2571</v>
      </c>
      <c r="K21" s="11">
        <v>2.5499999999999998E-2</v>
      </c>
      <c r="L21" s="20">
        <v>46271</v>
      </c>
      <c r="M21" s="20"/>
    </row>
    <row r="22" spans="2:13">
      <c r="B22" s="10" t="s">
        <v>10</v>
      </c>
      <c r="C22" s="2" t="s">
        <v>32</v>
      </c>
      <c r="D22" s="2">
        <v>4482</v>
      </c>
      <c r="E22" s="2">
        <v>6362</v>
      </c>
      <c r="F22" s="3">
        <v>758</v>
      </c>
      <c r="G22" s="2">
        <v>3724</v>
      </c>
      <c r="H22" s="3">
        <v>103</v>
      </c>
      <c r="I22" s="2">
        <v>0.1691</v>
      </c>
      <c r="J22" s="3">
        <v>0.88039999999999996</v>
      </c>
      <c r="K22" s="11">
        <v>0.28370000000000001</v>
      </c>
      <c r="L22" s="20">
        <v>46271</v>
      </c>
      <c r="M22" s="20"/>
    </row>
    <row r="23" spans="2:13" ht="18.600000000000001" thickBot="1">
      <c r="B23" s="12" t="s">
        <v>11</v>
      </c>
      <c r="C23" s="14" t="s">
        <v>32</v>
      </c>
      <c r="D23" s="14">
        <v>6559</v>
      </c>
      <c r="E23" s="14">
        <v>8463</v>
      </c>
      <c r="F23" s="13">
        <v>1068</v>
      </c>
      <c r="G23" s="14">
        <v>5491</v>
      </c>
      <c r="H23" s="13">
        <v>130</v>
      </c>
      <c r="I23" s="14">
        <v>0.1628</v>
      </c>
      <c r="J23" s="13">
        <v>0.89149999999999996</v>
      </c>
      <c r="K23" s="15">
        <v>0.27539999999999998</v>
      </c>
      <c r="L23" s="20">
        <v>46271</v>
      </c>
      <c r="M23" s="20"/>
    </row>
    <row r="24" spans="2:13">
      <c r="B24" s="26"/>
      <c r="C24" s="26"/>
      <c r="D24" s="26"/>
      <c r="E24" s="26"/>
      <c r="F24" s="27"/>
      <c r="G24" s="26"/>
      <c r="H24" s="27"/>
      <c r="I24" s="26"/>
      <c r="J24" s="27"/>
      <c r="K24" s="26"/>
      <c r="L24" s="20"/>
    </row>
    <row r="26" spans="2:13">
      <c r="B26" s="16" t="s">
        <v>21</v>
      </c>
      <c r="C26" s="2" t="s">
        <v>23</v>
      </c>
      <c r="D26">
        <v>7981.3</v>
      </c>
      <c r="E26" s="16">
        <v>97.7</v>
      </c>
      <c r="F26" s="18">
        <f>D26-E26</f>
        <v>7883.6</v>
      </c>
      <c r="G26" t="s">
        <v>22</v>
      </c>
      <c r="H26">
        <f>F26/3600/4</f>
        <v>0.54747222222222225</v>
      </c>
    </row>
    <row r="27" spans="2:13">
      <c r="C27" s="2" t="s">
        <v>26</v>
      </c>
      <c r="D27">
        <v>10053</v>
      </c>
      <c r="E27" s="18"/>
      <c r="F27" s="16">
        <v>10053</v>
      </c>
      <c r="G27" t="s">
        <v>24</v>
      </c>
      <c r="H27">
        <f>F27/3600/4</f>
        <v>0.698125</v>
      </c>
    </row>
    <row r="28" spans="2:13">
      <c r="C28" s="16" t="s">
        <v>32</v>
      </c>
    </row>
    <row r="31" spans="2:13">
      <c r="B31" t="s">
        <v>33</v>
      </c>
    </row>
    <row r="32" spans="2:13" ht="22.8">
      <c r="B32" s="64" t="s">
        <v>34</v>
      </c>
      <c r="C32" s="65" t="s">
        <v>35</v>
      </c>
      <c r="D32" s="50" t="s">
        <v>36</v>
      </c>
      <c r="E32" s="50" t="s">
        <v>37</v>
      </c>
      <c r="F32" s="66" t="s">
        <v>38</v>
      </c>
      <c r="G32" s="67" t="s">
        <v>39</v>
      </c>
      <c r="H32" s="68" t="s">
        <v>40</v>
      </c>
      <c r="I32" s="68" t="s">
        <v>41</v>
      </c>
      <c r="J32" s="68" t="s">
        <v>42</v>
      </c>
      <c r="K32" s="69" t="s">
        <v>43</v>
      </c>
    </row>
    <row r="33" spans="2:11">
      <c r="B33" s="39" t="s">
        <v>8</v>
      </c>
      <c r="C33" s="40">
        <v>0.12</v>
      </c>
      <c r="D33" s="51">
        <v>1663</v>
      </c>
      <c r="E33" s="54">
        <v>32795</v>
      </c>
      <c r="F33" s="41">
        <v>5.0999999999999997E-2</v>
      </c>
      <c r="G33" s="40" t="s">
        <v>45</v>
      </c>
      <c r="H33" s="41">
        <v>0</v>
      </c>
      <c r="I33" s="40">
        <v>0</v>
      </c>
      <c r="J33" s="40" t="s">
        <v>50</v>
      </c>
      <c r="K33" s="42" t="s">
        <v>55</v>
      </c>
    </row>
    <row r="34" spans="2:11">
      <c r="B34" s="43" t="s">
        <v>44</v>
      </c>
      <c r="C34" s="31">
        <v>7.0000000000000007E-2</v>
      </c>
      <c r="D34" s="52">
        <v>16171</v>
      </c>
      <c r="E34" s="55"/>
      <c r="F34" s="32">
        <v>0.49299999999999999</v>
      </c>
      <c r="G34" s="31" t="s">
        <v>46</v>
      </c>
      <c r="H34" s="32">
        <v>6.9999999999999999E-4</v>
      </c>
      <c r="I34" s="31">
        <v>1E-3</v>
      </c>
      <c r="J34" s="31" t="s">
        <v>51</v>
      </c>
      <c r="K34" s="44" t="s">
        <v>56</v>
      </c>
    </row>
    <row r="35" spans="2:11" ht="22.8">
      <c r="B35" s="43"/>
      <c r="C35" s="33">
        <v>0.04</v>
      </c>
      <c r="D35" s="52">
        <v>37588</v>
      </c>
      <c r="E35" s="55"/>
      <c r="F35" s="34">
        <v>1.1459999999999999</v>
      </c>
      <c r="G35" s="33" t="s">
        <v>47</v>
      </c>
      <c r="H35" s="32">
        <v>8.0000000000000004E-4</v>
      </c>
      <c r="I35" s="31">
        <v>2E-3</v>
      </c>
      <c r="J35" s="31" t="s">
        <v>52</v>
      </c>
      <c r="K35" s="44" t="s">
        <v>56</v>
      </c>
    </row>
    <row r="36" spans="2:11" ht="22.8">
      <c r="B36" s="43"/>
      <c r="C36" s="33">
        <v>0.02</v>
      </c>
      <c r="D36" s="52">
        <v>53871</v>
      </c>
      <c r="E36" s="55"/>
      <c r="F36" s="32">
        <v>1.643</v>
      </c>
      <c r="G36" s="33" t="s">
        <v>48</v>
      </c>
      <c r="H36" s="32">
        <v>8.0000000000000004E-4</v>
      </c>
      <c r="I36" s="31">
        <v>1E-3</v>
      </c>
      <c r="J36" s="31" t="s">
        <v>53</v>
      </c>
      <c r="K36" s="44" t="s">
        <v>57</v>
      </c>
    </row>
    <row r="37" spans="2:11" ht="22.8">
      <c r="B37" s="45"/>
      <c r="C37" s="35">
        <v>0.01</v>
      </c>
      <c r="D37" s="53">
        <v>60960</v>
      </c>
      <c r="E37" s="56"/>
      <c r="F37" s="36">
        <v>1.859</v>
      </c>
      <c r="G37" s="35" t="s">
        <v>49</v>
      </c>
      <c r="H37" s="36">
        <v>6.9999999999999999E-4</v>
      </c>
      <c r="I37" s="37">
        <v>1E-3</v>
      </c>
      <c r="J37" s="37" t="s">
        <v>54</v>
      </c>
      <c r="K37" s="46" t="s">
        <v>58</v>
      </c>
    </row>
    <row r="38" spans="2:11" ht="22.8">
      <c r="B38" s="39" t="s">
        <v>9</v>
      </c>
      <c r="C38" s="40">
        <v>0.12</v>
      </c>
      <c r="D38" s="51">
        <v>1389</v>
      </c>
      <c r="E38" s="54">
        <v>15090</v>
      </c>
      <c r="F38" s="41">
        <v>9.1999999999999998E-2</v>
      </c>
      <c r="G38" s="40" t="s">
        <v>60</v>
      </c>
      <c r="H38" s="41">
        <v>1.8700000000000001E-2</v>
      </c>
      <c r="I38" s="40">
        <v>3.4000000000000002E-2</v>
      </c>
      <c r="J38" s="40" t="s">
        <v>64</v>
      </c>
      <c r="K38" s="42" t="s">
        <v>67</v>
      </c>
    </row>
    <row r="39" spans="2:11" ht="22.8">
      <c r="B39" s="43" t="s">
        <v>59</v>
      </c>
      <c r="C39" s="31">
        <v>7.0000000000000007E-2</v>
      </c>
      <c r="D39" s="52">
        <v>7428</v>
      </c>
      <c r="E39" s="55"/>
      <c r="F39" s="32">
        <v>0.49199999999999999</v>
      </c>
      <c r="G39" s="31" t="s">
        <v>61</v>
      </c>
      <c r="H39" s="32">
        <v>1.3899999999999999E-2</v>
      </c>
      <c r="I39" s="31">
        <v>2.7E-2</v>
      </c>
      <c r="J39" s="31" t="s">
        <v>65</v>
      </c>
      <c r="K39" s="44" t="s">
        <v>67</v>
      </c>
    </row>
    <row r="40" spans="2:11" ht="22.8">
      <c r="B40" s="43"/>
      <c r="C40" s="33">
        <v>0.04</v>
      </c>
      <c r="D40" s="52">
        <v>16040</v>
      </c>
      <c r="E40" s="55"/>
      <c r="F40" s="34">
        <v>1.0629999999999999</v>
      </c>
      <c r="G40" s="33" t="s">
        <v>62</v>
      </c>
      <c r="H40" s="32">
        <v>7.7000000000000002E-3</v>
      </c>
      <c r="I40" s="31">
        <v>1.4999999999999999E-2</v>
      </c>
      <c r="J40" s="31" t="s">
        <v>66</v>
      </c>
      <c r="K40" s="44" t="s">
        <v>68</v>
      </c>
    </row>
    <row r="41" spans="2:11" ht="22.8">
      <c r="B41" s="43"/>
      <c r="C41" s="31">
        <v>0.02</v>
      </c>
      <c r="D41" s="52">
        <v>25871</v>
      </c>
      <c r="E41" s="55"/>
      <c r="F41" s="32">
        <v>1.714</v>
      </c>
      <c r="G41" s="33" t="s">
        <v>63</v>
      </c>
      <c r="H41" s="32">
        <v>4.7999999999999996E-3</v>
      </c>
      <c r="I41" s="31">
        <v>0.01</v>
      </c>
      <c r="J41" s="31" t="s">
        <v>66</v>
      </c>
      <c r="K41" s="44" t="s">
        <v>69</v>
      </c>
    </row>
    <row r="42" spans="2:11" ht="22.8">
      <c r="B42" s="45"/>
      <c r="C42" s="37">
        <v>0.01</v>
      </c>
      <c r="D42" s="53">
        <v>34385</v>
      </c>
      <c r="E42" s="56"/>
      <c r="F42" s="36">
        <v>2.2789999999999999</v>
      </c>
      <c r="G42" s="37" t="s">
        <v>63</v>
      </c>
      <c r="H42" s="36">
        <v>3.5999999999999999E-3</v>
      </c>
      <c r="I42" s="37">
        <v>7.0000000000000001E-3</v>
      </c>
      <c r="J42" s="37" t="s">
        <v>66</v>
      </c>
      <c r="K42" s="46" t="s">
        <v>70</v>
      </c>
    </row>
    <row r="43" spans="2:11" ht="22.8">
      <c r="B43" s="39" t="s">
        <v>10</v>
      </c>
      <c r="C43" s="47">
        <v>0.12</v>
      </c>
      <c r="D43" s="51">
        <v>7413</v>
      </c>
      <c r="E43" s="54">
        <v>6362</v>
      </c>
      <c r="F43" s="48">
        <v>1.165</v>
      </c>
      <c r="G43" s="47" t="s">
        <v>72</v>
      </c>
      <c r="H43" s="48">
        <v>0.1071</v>
      </c>
      <c r="I43" s="47">
        <v>0.192</v>
      </c>
      <c r="J43" s="40" t="s">
        <v>73</v>
      </c>
      <c r="K43" s="42" t="s">
        <v>74</v>
      </c>
    </row>
    <row r="44" spans="2:11" ht="22.8">
      <c r="B44" s="43" t="s">
        <v>71</v>
      </c>
      <c r="C44" s="31">
        <v>7.0000000000000007E-2</v>
      </c>
      <c r="D44" s="52">
        <v>8763</v>
      </c>
      <c r="E44" s="55"/>
      <c r="F44" s="32">
        <v>1.377</v>
      </c>
      <c r="G44" s="31" t="s">
        <v>72</v>
      </c>
      <c r="H44" s="32">
        <v>9.06E-2</v>
      </c>
      <c r="I44" s="31">
        <v>0.16500000000000001</v>
      </c>
      <c r="J44" s="31" t="s">
        <v>73</v>
      </c>
      <c r="K44" s="44" t="s">
        <v>57</v>
      </c>
    </row>
    <row r="45" spans="2:11" ht="22.8">
      <c r="B45" s="43"/>
      <c r="C45" s="31">
        <v>0.04</v>
      </c>
      <c r="D45" s="52">
        <v>9480</v>
      </c>
      <c r="E45" s="55"/>
      <c r="F45" s="32">
        <v>1.49</v>
      </c>
      <c r="G45" s="31" t="s">
        <v>72</v>
      </c>
      <c r="H45" s="32">
        <v>8.3799999999999999E-2</v>
      </c>
      <c r="I45" s="31">
        <v>0.154</v>
      </c>
      <c r="J45" s="31" t="s">
        <v>73</v>
      </c>
      <c r="K45" s="44" t="s">
        <v>75</v>
      </c>
    </row>
    <row r="46" spans="2:11" ht="22.8">
      <c r="B46" s="43"/>
      <c r="C46" s="31">
        <v>0.02</v>
      </c>
      <c r="D46" s="52">
        <v>10977</v>
      </c>
      <c r="E46" s="55"/>
      <c r="F46" s="32">
        <v>1.7250000000000001</v>
      </c>
      <c r="G46" s="31" t="s">
        <v>72</v>
      </c>
      <c r="H46" s="32">
        <v>7.2300000000000003E-2</v>
      </c>
      <c r="I46" s="31">
        <v>0.13400000000000001</v>
      </c>
      <c r="J46" s="31" t="s">
        <v>73</v>
      </c>
      <c r="K46" s="44" t="s">
        <v>57</v>
      </c>
    </row>
    <row r="47" spans="2:11" ht="22.8">
      <c r="B47" s="45"/>
      <c r="C47" s="37">
        <v>0.01</v>
      </c>
      <c r="D47" s="53">
        <v>15309</v>
      </c>
      <c r="E47" s="56"/>
      <c r="F47" s="36">
        <v>2.4060000000000001</v>
      </c>
      <c r="G47" s="37" t="s">
        <v>72</v>
      </c>
      <c r="H47" s="36">
        <v>5.1900000000000002E-2</v>
      </c>
      <c r="I47" s="37">
        <v>9.8000000000000004E-2</v>
      </c>
      <c r="J47" s="37" t="s">
        <v>73</v>
      </c>
      <c r="K47" s="46" t="s">
        <v>76</v>
      </c>
    </row>
    <row r="48" spans="2:11" ht="22.8">
      <c r="B48" s="57" t="s">
        <v>11</v>
      </c>
      <c r="C48" s="49">
        <v>0.12</v>
      </c>
      <c r="D48" s="52">
        <v>9181</v>
      </c>
      <c r="E48" s="55">
        <v>8463</v>
      </c>
      <c r="F48" s="58">
        <v>1.085</v>
      </c>
      <c r="G48" s="47" t="s">
        <v>78</v>
      </c>
      <c r="H48" s="48">
        <v>0.12809999999999999</v>
      </c>
      <c r="I48" s="47">
        <v>0.22700000000000001</v>
      </c>
      <c r="J48" s="59" t="s">
        <v>82</v>
      </c>
      <c r="K48" s="44" t="s">
        <v>57</v>
      </c>
    </row>
    <row r="49" spans="2:11" ht="22.8">
      <c r="B49" s="43" t="s">
        <v>77</v>
      </c>
      <c r="C49" s="49">
        <v>7.0000000000000007E-2</v>
      </c>
      <c r="D49" s="52">
        <v>9750</v>
      </c>
      <c r="E49" s="55"/>
      <c r="F49" s="60">
        <v>1.1519999999999999</v>
      </c>
      <c r="G49" s="33" t="s">
        <v>79</v>
      </c>
      <c r="H49" s="32">
        <v>0.1216</v>
      </c>
      <c r="I49" s="31">
        <v>0.217</v>
      </c>
      <c r="J49" s="61" t="s">
        <v>82</v>
      </c>
      <c r="K49" s="44" t="s">
        <v>84</v>
      </c>
    </row>
    <row r="50" spans="2:11" ht="22.8">
      <c r="B50" s="43"/>
      <c r="C50" s="30">
        <v>0.04</v>
      </c>
      <c r="D50" s="52">
        <v>10642</v>
      </c>
      <c r="E50" s="55"/>
      <c r="F50" s="60">
        <v>1.2569999999999999</v>
      </c>
      <c r="G50" s="33" t="s">
        <v>80</v>
      </c>
      <c r="H50" s="32">
        <v>0.1115</v>
      </c>
      <c r="I50" s="31">
        <v>0.20100000000000001</v>
      </c>
      <c r="J50" s="61" t="s">
        <v>83</v>
      </c>
      <c r="K50" s="44" t="s">
        <v>85</v>
      </c>
    </row>
    <row r="51" spans="2:11" ht="22.8">
      <c r="B51" s="43"/>
      <c r="C51" s="30">
        <v>0.02</v>
      </c>
      <c r="D51" s="52">
        <v>12294</v>
      </c>
      <c r="E51" s="55"/>
      <c r="F51" s="60">
        <v>1.4530000000000001</v>
      </c>
      <c r="G51" s="31" t="s">
        <v>80</v>
      </c>
      <c r="H51" s="32">
        <v>9.6600000000000005E-2</v>
      </c>
      <c r="I51" s="31">
        <v>0.17599999999999999</v>
      </c>
      <c r="J51" s="61" t="s">
        <v>83</v>
      </c>
      <c r="K51" s="44" t="s">
        <v>86</v>
      </c>
    </row>
    <row r="52" spans="2:11" ht="22.8">
      <c r="B52" s="45"/>
      <c r="C52" s="38">
        <v>0.01</v>
      </c>
      <c r="D52" s="53">
        <v>16555</v>
      </c>
      <c r="E52" s="56"/>
      <c r="F52" s="62">
        <v>1.956</v>
      </c>
      <c r="G52" s="37" t="s">
        <v>81</v>
      </c>
      <c r="H52" s="36">
        <v>7.1800000000000003E-2</v>
      </c>
      <c r="I52" s="37">
        <v>0.13400000000000001</v>
      </c>
      <c r="J52" s="63" t="s">
        <v>83</v>
      </c>
      <c r="K52" s="46" t="s">
        <v>87</v>
      </c>
    </row>
  </sheetData>
  <mergeCells count="4">
    <mergeCell ref="E33:E37"/>
    <mergeCell ref="E38:E42"/>
    <mergeCell ref="E43:E47"/>
    <mergeCell ref="E48:E5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淳 東島</cp:lastModifiedBy>
  <dcterms:created xsi:type="dcterms:W3CDTF">2015-06-05T18:19:34Z</dcterms:created>
  <dcterms:modified xsi:type="dcterms:W3CDTF">2026-09-07T11:20:38Z</dcterms:modified>
</cp:coreProperties>
</file>