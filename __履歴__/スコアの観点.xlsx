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izOwn\000_Biw2\51_googleantigravity\007_kaggle_Biohub-Cell_Tracking_During_Development\s3_results_integration_and_submission\__履歴__\"/>
    </mc:Choice>
  </mc:AlternateContent>
  <xr:revisionPtr revIDLastSave="0" documentId="13_ncr:1_{D5C8EB65-28E9-4F67-8177-4B84960A6C4A}" xr6:coauthVersionLast="47" xr6:coauthVersionMax="47" xr10:uidLastSave="{00000000-0000-0000-0000-000000000000}"/>
  <bookViews>
    <workbookView xWindow="11760" yWindow="3180" windowWidth="21912" windowHeight="196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1" l="1"/>
  <c r="F26" i="1"/>
  <c r="H26" i="1" s="1"/>
</calcChain>
</file>

<file path=xl/sharedStrings.xml><?xml version="1.0" encoding="utf-8"?>
<sst xmlns="http://schemas.openxmlformats.org/spreadsheetml/2006/main" count="52" uniqueCount="33">
  <si>
    <t>s3_100_results_integration_and_submission.ipynb</t>
  </si>
  <si>
    <t>データセット:'44b6_0113de3b'</t>
  </si>
  <si>
    <t>GTの見積もり総細胞数</t>
    <phoneticPr fontId="1"/>
  </si>
  <si>
    <t>blogdogの細胞検出数</t>
    <phoneticPr fontId="1"/>
  </si>
  <si>
    <t>3D U-Netの細胞検出数</t>
    <phoneticPr fontId="1"/>
  </si>
  <si>
    <t>2026/9/5時点</t>
    <rPh sb="8" eb="10">
      <t>ジテン</t>
    </rPh>
    <phoneticPr fontId="1"/>
  </si>
  <si>
    <t>dataset</t>
  </si>
  <si>
    <t>44b6_0113de3b</t>
  </si>
  <si>
    <t>44b6_0b24845f</t>
  </si>
  <si>
    <t>44b6_74d0c52e</t>
  </si>
  <si>
    <t>6bba_05b6850b</t>
  </si>
  <si>
    <t>6bba_085bf656</t>
  </si>
  <si>
    <t>estimated_number_of_nodes</t>
  </si>
  <si>
    <t>total_pred_nodes</t>
  </si>
  <si>
    <t>3D U-Net</t>
    <phoneticPr fontId="1"/>
  </si>
  <si>
    <t>tp</t>
  </si>
  <si>
    <t>fp</t>
  </si>
  <si>
    <t>fn</t>
  </si>
  <si>
    <t>precision</t>
  </si>
  <si>
    <t>recall</t>
  </si>
  <si>
    <t>f1_score</t>
  </si>
  <si>
    <t>処理時間</t>
    <rPh sb="0" eb="4">
      <t>ショリジカン</t>
    </rPh>
    <phoneticPr fontId="1"/>
  </si>
  <si>
    <t>秒</t>
    <rPh sb="0" eb="1">
      <t>ビョウ</t>
    </rPh>
    <phoneticPr fontId="1"/>
  </si>
  <si>
    <t>デフォルト</t>
    <phoneticPr fontId="1"/>
  </si>
  <si>
    <t>秒</t>
    <rPh sb="0" eb="1">
      <t>ビョウ</t>
    </rPh>
    <phoneticPr fontId="1"/>
  </si>
  <si>
    <t>実行日</t>
    <rPh sb="0" eb="2">
      <t>ジッコウ</t>
    </rPh>
    <rPh sb="2" eb="3">
      <t>ヒ</t>
    </rPh>
    <phoneticPr fontId="1"/>
  </si>
  <si>
    <t>A: p32x64x64_sig4.0x1.0_lr0.001</t>
    <phoneticPr fontId="1"/>
  </si>
  <si>
    <t>モデル</t>
    <phoneticPr fontId="1"/>
  </si>
  <si>
    <t>初回の暫定モデル</t>
    <rPh sb="0" eb="2">
      <t>ショカイ</t>
    </rPh>
    <rPh sb="3" eb="5">
      <t>ザンテイ</t>
    </rPh>
    <phoneticPr fontId="1"/>
  </si>
  <si>
    <t>初回の暫定モデル</t>
    <phoneticPr fontId="1"/>
  </si>
  <si>
    <t>不明</t>
    <rPh sb="0" eb="2">
      <t>フメイ</t>
    </rPh>
    <phoneticPr fontId="1"/>
  </si>
  <si>
    <t>初回の暫定モデル</t>
    <rPh sb="0" eb="2">
      <t>ショカイ</t>
    </rPh>
    <rPh sb="3" eb="5">
      <t>ザンテイ</t>
    </rPh>
    <phoneticPr fontId="1"/>
  </si>
  <si>
    <t>D: p32x64x64_sig1.5x1.0_lr0.001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</si>
</sst>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Fill="1"/>
    <xf numFmtId="14" fontId="0" fillId="0" borderId="0" xfId="0" applyNumberFormat="1" applyFill="1"/>
    <xf numFmtId="14" fontId="0" fillId="0" borderId="0" xfId="0" applyNumberForma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L14" sqref="L14"/>
    </sheetView>
  </sheetViews>
  <sheetFormatPr defaultRowHeight="18"/>
  <cols>
    <col min="2" max="2" width="19.296875" customWidth="1"/>
    <col min="3" max="3" width="29.796875" bestFit="1" customWidth="1"/>
    <col min="4" max="4" width="25.296875" customWidth="1"/>
    <col min="5" max="5" width="23.796875" customWidth="1"/>
    <col min="12" max="12" width="9.19921875" style="18" bestFit="1" customWidth="1"/>
  </cols>
  <sheetData>
    <row r="1" spans="1:13">
      <c r="A1" t="s">
        <v>0</v>
      </c>
    </row>
    <row r="2" spans="1:13">
      <c r="B2" t="s">
        <v>1</v>
      </c>
    </row>
    <row r="3" spans="1:13">
      <c r="B3" s="1" t="s">
        <v>2</v>
      </c>
      <c r="C3" s="1">
        <v>25755</v>
      </c>
    </row>
    <row r="4" spans="1:13">
      <c r="B4" s="1" t="s">
        <v>3</v>
      </c>
      <c r="C4" s="1">
        <v>15622</v>
      </c>
    </row>
    <row r="5" spans="1:13">
      <c r="B5" s="1" t="s">
        <v>4</v>
      </c>
      <c r="C5" s="1">
        <v>4473</v>
      </c>
    </row>
    <row r="6" spans="1:13">
      <c r="C6" t="s">
        <v>5</v>
      </c>
    </row>
    <row r="8" spans="1:13">
      <c r="B8" t="s">
        <v>14</v>
      </c>
    </row>
    <row r="9" spans="1:13">
      <c r="B9" s="2" t="s">
        <v>6</v>
      </c>
      <c r="C9" s="2" t="s">
        <v>27</v>
      </c>
      <c r="D9" s="3" t="s">
        <v>13</v>
      </c>
      <c r="E9" s="3" t="s">
        <v>12</v>
      </c>
      <c r="F9" s="3" t="s">
        <v>15</v>
      </c>
      <c r="G9" s="2" t="s">
        <v>16</v>
      </c>
      <c r="H9" s="3" t="s">
        <v>17</v>
      </c>
      <c r="I9" s="2" t="s">
        <v>18</v>
      </c>
      <c r="J9" s="3" t="s">
        <v>19</v>
      </c>
      <c r="K9" s="2" t="s">
        <v>20</v>
      </c>
      <c r="L9" s="16" t="s">
        <v>25</v>
      </c>
      <c r="M9" s="25"/>
    </row>
    <row r="10" spans="1:13" ht="18.600000000000001" thickBot="1">
      <c r="B10" s="4" t="s">
        <v>7</v>
      </c>
      <c r="C10" s="4" t="s">
        <v>30</v>
      </c>
      <c r="D10" s="5">
        <v>19506</v>
      </c>
      <c r="E10" s="5">
        <v>25755</v>
      </c>
      <c r="F10" s="5">
        <v>49</v>
      </c>
      <c r="G10" s="4">
        <v>19457</v>
      </c>
      <c r="H10" s="5">
        <v>3</v>
      </c>
      <c r="I10" s="4">
        <v>2.5000000000000001E-3</v>
      </c>
      <c r="J10" s="5">
        <v>0.94230000000000003</v>
      </c>
      <c r="K10" s="4">
        <v>5.0000000000000001E-3</v>
      </c>
      <c r="L10" s="19">
        <v>46269</v>
      </c>
    </row>
    <row r="11" spans="1:13">
      <c r="B11" s="6" t="s">
        <v>8</v>
      </c>
      <c r="C11" s="17" t="s">
        <v>28</v>
      </c>
      <c r="D11" s="7">
        <v>2416</v>
      </c>
      <c r="E11" s="7">
        <v>32795</v>
      </c>
      <c r="F11" s="7">
        <v>0</v>
      </c>
      <c r="G11" s="8">
        <v>2416</v>
      </c>
      <c r="H11" s="7">
        <v>51</v>
      </c>
      <c r="I11" s="8">
        <v>0</v>
      </c>
      <c r="J11" s="7">
        <v>0</v>
      </c>
      <c r="K11" s="9">
        <v>0</v>
      </c>
      <c r="L11" s="20">
        <v>46270</v>
      </c>
    </row>
    <row r="12" spans="1:13">
      <c r="B12" s="10" t="s">
        <v>9</v>
      </c>
      <c r="C12" s="2" t="s">
        <v>29</v>
      </c>
      <c r="D12" s="3">
        <v>2065</v>
      </c>
      <c r="E12" s="3">
        <v>15090</v>
      </c>
      <c r="F12" s="3">
        <v>31</v>
      </c>
      <c r="G12" s="2">
        <v>2034</v>
      </c>
      <c r="H12" s="3">
        <v>109</v>
      </c>
      <c r="I12" s="2">
        <v>1.4999999999999999E-2</v>
      </c>
      <c r="J12" s="3">
        <v>0.22140000000000001</v>
      </c>
      <c r="K12" s="11">
        <v>2.81E-2</v>
      </c>
      <c r="L12" s="20">
        <v>46270</v>
      </c>
    </row>
    <row r="13" spans="1:13">
      <c r="B13" s="10" t="s">
        <v>10</v>
      </c>
      <c r="C13" s="2" t="s">
        <v>29</v>
      </c>
      <c r="D13" s="3">
        <v>3903</v>
      </c>
      <c r="E13" s="3">
        <v>6362</v>
      </c>
      <c r="F13" s="3">
        <v>733</v>
      </c>
      <c r="G13" s="2">
        <v>3170</v>
      </c>
      <c r="H13" s="3">
        <v>128</v>
      </c>
      <c r="I13" s="2">
        <v>0.18779999999999999</v>
      </c>
      <c r="J13" s="3">
        <v>0.85129999999999995</v>
      </c>
      <c r="K13" s="11">
        <v>0.30769999999999997</v>
      </c>
      <c r="L13" s="20">
        <v>46270</v>
      </c>
    </row>
    <row r="14" spans="1:13" ht="18.600000000000001" thickBot="1">
      <c r="B14" s="21" t="s">
        <v>11</v>
      </c>
      <c r="C14" s="22" t="s">
        <v>31</v>
      </c>
      <c r="D14" s="23">
        <v>6501</v>
      </c>
      <c r="E14" s="23">
        <v>8463</v>
      </c>
      <c r="F14" s="23">
        <v>1096</v>
      </c>
      <c r="G14" s="22">
        <v>5405</v>
      </c>
      <c r="H14" s="23">
        <v>102</v>
      </c>
      <c r="I14" s="22">
        <v>0.1686</v>
      </c>
      <c r="J14" s="23">
        <v>0.91490000000000005</v>
      </c>
      <c r="K14" s="24">
        <v>0.28470000000000001</v>
      </c>
      <c r="L14" s="20">
        <v>46270</v>
      </c>
    </row>
    <row r="15" spans="1:13">
      <c r="B15" s="6" t="s">
        <v>8</v>
      </c>
      <c r="C15" s="8" t="s">
        <v>26</v>
      </c>
      <c r="D15" s="8">
        <v>3200</v>
      </c>
      <c r="E15" s="8">
        <v>32795</v>
      </c>
      <c r="F15" s="7">
        <v>1</v>
      </c>
      <c r="G15" s="8">
        <v>3199</v>
      </c>
      <c r="H15" s="7">
        <v>50</v>
      </c>
      <c r="I15" s="8">
        <v>2.9999999999999997E-4</v>
      </c>
      <c r="J15" s="7">
        <v>1.9599999999999999E-2</v>
      </c>
      <c r="K15" s="9">
        <v>5.9999999999999995E-4</v>
      </c>
      <c r="L15" s="20">
        <v>46271</v>
      </c>
    </row>
    <row r="16" spans="1:13">
      <c r="B16" s="10" t="s">
        <v>9</v>
      </c>
      <c r="C16" s="2" t="s">
        <v>26</v>
      </c>
      <c r="D16" s="2">
        <v>3331</v>
      </c>
      <c r="E16" s="2">
        <v>15090</v>
      </c>
      <c r="F16" s="3">
        <v>43</v>
      </c>
      <c r="G16" s="2">
        <v>3288</v>
      </c>
      <c r="H16" s="3">
        <v>97</v>
      </c>
      <c r="I16" s="2">
        <v>1.29E-2</v>
      </c>
      <c r="J16" s="3">
        <v>0.30709999999999998</v>
      </c>
      <c r="K16" s="11">
        <v>2.4799999999999999E-2</v>
      </c>
      <c r="L16" s="20">
        <v>46271</v>
      </c>
    </row>
    <row r="17" spans="2:13">
      <c r="B17" s="10" t="s">
        <v>10</v>
      </c>
      <c r="C17" s="2" t="s">
        <v>26</v>
      </c>
      <c r="D17" s="2">
        <v>4445</v>
      </c>
      <c r="E17" s="2">
        <v>6362</v>
      </c>
      <c r="F17" s="3">
        <v>758</v>
      </c>
      <c r="G17" s="2">
        <v>3687</v>
      </c>
      <c r="H17" s="3">
        <v>103</v>
      </c>
      <c r="I17" s="2">
        <v>0.17050000000000001</v>
      </c>
      <c r="J17" s="3">
        <v>0.88039999999999996</v>
      </c>
      <c r="K17" s="11">
        <v>0.28570000000000001</v>
      </c>
      <c r="L17" s="20">
        <v>46271</v>
      </c>
    </row>
    <row r="18" spans="2:13" ht="18.600000000000001" thickBot="1">
      <c r="B18" s="28" t="s">
        <v>11</v>
      </c>
      <c r="C18" s="4" t="s">
        <v>26</v>
      </c>
      <c r="D18" s="4">
        <v>6335</v>
      </c>
      <c r="E18" s="4">
        <v>8463</v>
      </c>
      <c r="F18" s="5">
        <v>1033</v>
      </c>
      <c r="G18" s="4">
        <v>5302</v>
      </c>
      <c r="H18" s="5">
        <v>165</v>
      </c>
      <c r="I18" s="4">
        <v>0.16309999999999999</v>
      </c>
      <c r="J18" s="5">
        <v>0.86229999999999996</v>
      </c>
      <c r="K18" s="29">
        <v>0.27429999999999999</v>
      </c>
      <c r="L18" s="20">
        <v>46271</v>
      </c>
    </row>
    <row r="19" spans="2:13">
      <c r="B19" s="6" t="s">
        <v>7</v>
      </c>
      <c r="C19" s="8" t="s">
        <v>32</v>
      </c>
      <c r="D19" s="8">
        <v>19506</v>
      </c>
      <c r="E19" s="8">
        <v>25755</v>
      </c>
      <c r="F19" s="7">
        <v>49</v>
      </c>
      <c r="G19" s="8">
        <v>19457</v>
      </c>
      <c r="H19" s="7">
        <v>3</v>
      </c>
      <c r="I19" s="8">
        <v>2.5000000000000001E-3</v>
      </c>
      <c r="J19" s="7">
        <v>0.94230000000000003</v>
      </c>
      <c r="K19" s="9">
        <v>5.0000000000000001E-3</v>
      </c>
      <c r="L19" s="20">
        <v>46271</v>
      </c>
      <c r="M19" s="20"/>
    </row>
    <row r="20" spans="2:13">
      <c r="B20" s="10" t="s">
        <v>8</v>
      </c>
      <c r="C20" s="2" t="s">
        <v>32</v>
      </c>
      <c r="D20" s="2">
        <v>3197</v>
      </c>
      <c r="E20" s="2">
        <v>32795</v>
      </c>
      <c r="F20" s="3">
        <v>1</v>
      </c>
      <c r="G20" s="2">
        <v>3196</v>
      </c>
      <c r="H20" s="3">
        <v>50</v>
      </c>
      <c r="I20" s="2">
        <v>2.9999999999999997E-4</v>
      </c>
      <c r="J20" s="3">
        <v>1.9599999999999999E-2</v>
      </c>
      <c r="K20" s="11">
        <v>5.9999999999999995E-4</v>
      </c>
      <c r="L20" s="20">
        <v>46271</v>
      </c>
      <c r="M20" s="20"/>
    </row>
    <row r="21" spans="2:13">
      <c r="B21" s="10" t="s">
        <v>9</v>
      </c>
      <c r="C21" s="2" t="s">
        <v>32</v>
      </c>
      <c r="D21" s="2">
        <v>2684</v>
      </c>
      <c r="E21" s="2">
        <v>15090</v>
      </c>
      <c r="F21" s="3">
        <v>36</v>
      </c>
      <c r="G21" s="2">
        <v>2648</v>
      </c>
      <c r="H21" s="3">
        <v>104</v>
      </c>
      <c r="I21" s="2">
        <v>1.34E-2</v>
      </c>
      <c r="J21" s="3">
        <v>0.2571</v>
      </c>
      <c r="K21" s="11">
        <v>2.5499999999999998E-2</v>
      </c>
      <c r="L21" s="20">
        <v>46271</v>
      </c>
      <c r="M21" s="20"/>
    </row>
    <row r="22" spans="2:13">
      <c r="B22" s="10" t="s">
        <v>10</v>
      </c>
      <c r="C22" s="2" t="s">
        <v>32</v>
      </c>
      <c r="D22" s="2">
        <v>4482</v>
      </c>
      <c r="E22" s="2">
        <v>6362</v>
      </c>
      <c r="F22" s="3">
        <v>758</v>
      </c>
      <c r="G22" s="2">
        <v>3724</v>
      </c>
      <c r="H22" s="3">
        <v>103</v>
      </c>
      <c r="I22" s="2">
        <v>0.1691</v>
      </c>
      <c r="J22" s="3">
        <v>0.88039999999999996</v>
      </c>
      <c r="K22" s="11">
        <v>0.28370000000000001</v>
      </c>
      <c r="L22" s="20">
        <v>46271</v>
      </c>
      <c r="M22" s="20"/>
    </row>
    <row r="23" spans="2:13" ht="18.600000000000001" thickBot="1">
      <c r="B23" s="12" t="s">
        <v>11</v>
      </c>
      <c r="C23" s="14" t="s">
        <v>32</v>
      </c>
      <c r="D23" s="14">
        <v>6559</v>
      </c>
      <c r="E23" s="14">
        <v>8463</v>
      </c>
      <c r="F23" s="13">
        <v>1068</v>
      </c>
      <c r="G23" s="14">
        <v>5491</v>
      </c>
      <c r="H23" s="13">
        <v>130</v>
      </c>
      <c r="I23" s="14">
        <v>0.1628</v>
      </c>
      <c r="J23" s="13">
        <v>0.89149999999999996</v>
      </c>
      <c r="K23" s="15">
        <v>0.27539999999999998</v>
      </c>
      <c r="L23" s="20">
        <v>46271</v>
      </c>
      <c r="M23" s="20"/>
    </row>
    <row r="24" spans="2:13">
      <c r="B24" s="26"/>
      <c r="C24" s="26"/>
      <c r="D24" s="26"/>
      <c r="E24" s="26"/>
      <c r="F24" s="27"/>
      <c r="G24" s="26"/>
      <c r="H24" s="27"/>
      <c r="I24" s="26"/>
      <c r="J24" s="27"/>
      <c r="K24" s="26"/>
      <c r="L24" s="20"/>
    </row>
    <row r="26" spans="2:13">
      <c r="B26" s="16" t="s">
        <v>21</v>
      </c>
      <c r="C26" s="2" t="s">
        <v>23</v>
      </c>
      <c r="D26">
        <v>7981.3</v>
      </c>
      <c r="E26" s="16">
        <v>97.7</v>
      </c>
      <c r="F26" s="18">
        <f>D26-E26</f>
        <v>7883.6</v>
      </c>
      <c r="G26" t="s">
        <v>22</v>
      </c>
      <c r="H26">
        <f>F26/3600/4</f>
        <v>0.54747222222222225</v>
      </c>
    </row>
    <row r="27" spans="2:13">
      <c r="C27" s="2" t="s">
        <v>26</v>
      </c>
      <c r="D27">
        <v>10053</v>
      </c>
      <c r="E27" s="18"/>
      <c r="F27" s="16">
        <v>10053</v>
      </c>
      <c r="G27" t="s">
        <v>24</v>
      </c>
      <c r="H27">
        <f>F27/3600/4</f>
        <v>0.698125</v>
      </c>
    </row>
    <row r="28" spans="2:13">
      <c r="C28" s="16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淳 東島</cp:lastModifiedBy>
  <dcterms:created xsi:type="dcterms:W3CDTF">2015-06-05T18:19:34Z</dcterms:created>
  <dcterms:modified xsi:type="dcterms:W3CDTF">2026-09-06T14:54:59Z</dcterms:modified>
</cp:coreProperties>
</file>